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EPHAN\DATA\GBC\FINAL_PROJECT\Smart_home_Solar_panels\"/>
    </mc:Choice>
  </mc:AlternateContent>
  <xr:revisionPtr revIDLastSave="0" documentId="13_ncr:1_{8EDD7FDD-74F6-4EEA-8C4E-E25EC913D586}" xr6:coauthVersionLast="47" xr6:coauthVersionMax="47" xr10:uidLastSave="{00000000-0000-0000-0000-000000000000}"/>
  <bookViews>
    <workbookView xWindow="38235" yWindow="7005" windowWidth="29130" windowHeight="15810" activeTab="4" xr2:uid="{27831FA6-900D-44C6-8DE0-EBFB18750FA0}"/>
  </bookViews>
  <sheets>
    <sheet name="A_Energy" sheetId="1" r:id="rId1"/>
    <sheet name="Q1-4" sheetId="2" r:id="rId2"/>
    <sheet name="Stromkosten" sheetId="3" r:id="rId3"/>
    <sheet name="Kosten 30.10." sheetId="4" r:id="rId4"/>
    <sheet name="Kosten 1.11.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5" l="1"/>
  <c r="I3" i="5"/>
  <c r="H4" i="5"/>
  <c r="H5" i="5"/>
  <c r="H6" i="5"/>
  <c r="H7" i="5"/>
  <c r="E7" i="5" s="1"/>
  <c r="H8" i="5"/>
  <c r="H9" i="5"/>
  <c r="H10" i="5"/>
  <c r="H11" i="5"/>
  <c r="H12" i="5"/>
  <c r="H13" i="5"/>
  <c r="E13" i="5" s="1"/>
  <c r="H14" i="5"/>
  <c r="H15" i="5"/>
  <c r="H16" i="5"/>
  <c r="H17" i="5"/>
  <c r="H18" i="5"/>
  <c r="H19" i="5"/>
  <c r="H20" i="5"/>
  <c r="H21" i="5"/>
  <c r="H22" i="5"/>
  <c r="H23" i="5"/>
  <c r="F4" i="5"/>
  <c r="F5" i="5"/>
  <c r="E5" i="5" s="1"/>
  <c r="F6" i="5"/>
  <c r="E6" i="5" s="1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G23" i="5"/>
  <c r="G22" i="5"/>
  <c r="E22" i="5"/>
  <c r="G21" i="5"/>
  <c r="G20" i="5"/>
  <c r="E20" i="5" s="1"/>
  <c r="G19" i="5"/>
  <c r="E19" i="5" s="1"/>
  <c r="G18" i="5"/>
  <c r="G17" i="5"/>
  <c r="G16" i="5"/>
  <c r="G15" i="5"/>
  <c r="G14" i="5"/>
  <c r="G13" i="5"/>
  <c r="G12" i="5"/>
  <c r="G11" i="5"/>
  <c r="G10" i="5"/>
  <c r="G9" i="5"/>
  <c r="G8" i="5"/>
  <c r="E8" i="5" s="1"/>
  <c r="G7" i="5"/>
  <c r="G6" i="5"/>
  <c r="G5" i="5"/>
  <c r="G4" i="5"/>
  <c r="P4" i="5"/>
  <c r="F3" i="5"/>
  <c r="G3" i="5"/>
  <c r="H3" i="5"/>
  <c r="T3" i="5"/>
  <c r="H2" i="5"/>
  <c r="G2" i="5"/>
  <c r="F2" i="5"/>
  <c r="F7" i="4"/>
  <c r="E7" i="4" s="1"/>
  <c r="O3" i="4"/>
  <c r="F19" i="4"/>
  <c r="G19" i="4"/>
  <c r="H19" i="4"/>
  <c r="F20" i="4"/>
  <c r="G20" i="4"/>
  <c r="H20" i="4"/>
  <c r="F21" i="4"/>
  <c r="G21" i="4"/>
  <c r="H21" i="4"/>
  <c r="F22" i="4"/>
  <c r="G22" i="4"/>
  <c r="H22" i="4"/>
  <c r="F3" i="4"/>
  <c r="F18" i="4"/>
  <c r="G18" i="4"/>
  <c r="H18" i="4"/>
  <c r="E12" i="4"/>
  <c r="F4" i="4"/>
  <c r="F5" i="4"/>
  <c r="F6" i="4"/>
  <c r="E6" i="4" s="1"/>
  <c r="F8" i="4"/>
  <c r="E8" i="4" s="1"/>
  <c r="F9" i="4"/>
  <c r="F10" i="4"/>
  <c r="F11" i="4"/>
  <c r="F12" i="4"/>
  <c r="F13" i="4"/>
  <c r="F14" i="4"/>
  <c r="F15" i="4"/>
  <c r="F16" i="4"/>
  <c r="F17" i="4"/>
  <c r="H2" i="4"/>
  <c r="G2" i="4"/>
  <c r="F2" i="4"/>
  <c r="G4" i="4"/>
  <c r="H4" i="4"/>
  <c r="G5" i="4"/>
  <c r="H5" i="4"/>
  <c r="G6" i="4"/>
  <c r="H6" i="4"/>
  <c r="G7" i="4"/>
  <c r="H7" i="4"/>
  <c r="G8" i="4"/>
  <c r="H8" i="4"/>
  <c r="G9" i="4"/>
  <c r="H9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H16" i="4"/>
  <c r="G17" i="4"/>
  <c r="H17" i="4"/>
  <c r="G3" i="4"/>
  <c r="H3" i="4"/>
  <c r="F4" i="2"/>
  <c r="C4" i="2"/>
  <c r="D4" i="2"/>
  <c r="E4" i="2"/>
  <c r="B4" i="2"/>
  <c r="C8" i="1"/>
  <c r="B3" i="1"/>
  <c r="B4" i="1"/>
  <c r="B5" i="1"/>
  <c r="B6" i="1"/>
  <c r="B7" i="1"/>
  <c r="B2" i="1"/>
  <c r="E18" i="5" l="1"/>
  <c r="E3" i="5"/>
  <c r="C3" i="5" s="1"/>
  <c r="R3" i="5"/>
  <c r="E15" i="5"/>
  <c r="E14" i="5"/>
  <c r="E12" i="5"/>
  <c r="E11" i="5"/>
  <c r="E10" i="5"/>
  <c r="E17" i="5"/>
  <c r="E4" i="5"/>
  <c r="C4" i="5" s="1"/>
  <c r="C5" i="5" s="1"/>
  <c r="C6" i="5" s="1"/>
  <c r="C7" i="5" s="1"/>
  <c r="C8" i="5" s="1"/>
  <c r="E21" i="5"/>
  <c r="E9" i="5"/>
  <c r="C9" i="5" s="1"/>
  <c r="C10" i="5" s="1"/>
  <c r="C11" i="5" s="1"/>
  <c r="C12" i="5" s="1"/>
  <c r="C13" i="5" s="1"/>
  <c r="C14" i="5" s="1"/>
  <c r="E16" i="5"/>
  <c r="E23" i="5"/>
  <c r="E17" i="4"/>
  <c r="E5" i="4"/>
  <c r="E11" i="4"/>
  <c r="E3" i="4"/>
  <c r="C3" i="4" s="1"/>
  <c r="E21" i="4"/>
  <c r="E19" i="4"/>
  <c r="E22" i="4"/>
  <c r="E20" i="4"/>
  <c r="E10" i="4"/>
  <c r="E9" i="4"/>
  <c r="E16" i="4"/>
  <c r="E13" i="4"/>
  <c r="E4" i="4"/>
  <c r="E15" i="4"/>
  <c r="E14" i="4"/>
  <c r="E18" i="4"/>
  <c r="C15" i="5" l="1"/>
  <c r="C16" i="5"/>
  <c r="C17" i="5" s="1"/>
  <c r="C18" i="5" s="1"/>
  <c r="C19" i="5" s="1"/>
  <c r="C20" i="5" s="1"/>
  <c r="C21" i="5" s="1"/>
  <c r="C22" i="5" s="1"/>
  <c r="C23" i="5" s="1"/>
  <c r="C4" i="4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</calcChain>
</file>

<file path=xl/sharedStrings.xml><?xml version="1.0" encoding="utf-8"?>
<sst xmlns="http://schemas.openxmlformats.org/spreadsheetml/2006/main" count="59" uniqueCount="42">
  <si>
    <t>Area</t>
  </si>
  <si>
    <t>Sum of Energy</t>
  </si>
  <si>
    <t>A_PV-Energie_01-data_2024-03_2025-09_total-pv-generation_600s_kWh.csv</t>
  </si>
  <si>
    <t>A_PV-Energie_02-data_2024-03_2025-09_total-consumed-energy_600s_kWh.csv</t>
  </si>
  <si>
    <t>A_PV-Energie_03-data_2024-03_2025-09_total-imported-energy_600s_kWh.csv</t>
  </si>
  <si>
    <t>A_PV-Energie_04-data_2024-03_2025-09_total-exported-energy_600s_kWh.csv</t>
  </si>
  <si>
    <t>A_PV-Energie_05-data_2024-03_2025-09_total-battery-charge_600s_kWh.csv</t>
  </si>
  <si>
    <t>A_PV-Energie_06-data_2024-03_2025-09_total-battery-discharge_600s_kWh.csv</t>
  </si>
  <si>
    <t>Short</t>
  </si>
  <si>
    <t>Q1</t>
  </si>
  <si>
    <t>Q2</t>
  </si>
  <si>
    <t>Q3</t>
  </si>
  <si>
    <t>Q4</t>
  </si>
  <si>
    <t>Sunny</t>
  </si>
  <si>
    <t>Cloudy</t>
  </si>
  <si>
    <t>Overall</t>
  </si>
  <si>
    <t>Current</t>
  </si>
  <si>
    <t>Best case</t>
  </si>
  <si>
    <t>Worst case</t>
  </si>
  <si>
    <t>Import costs</t>
  </si>
  <si>
    <t xml:space="preserve"> [€/kWh]</t>
  </si>
  <si>
    <t xml:space="preserve">Export gain  </t>
  </si>
  <si>
    <t>Jahr</t>
  </si>
  <si>
    <t>Import Kosten</t>
  </si>
  <si>
    <t>Export Gewinn</t>
  </si>
  <si>
    <t>Invest</t>
  </si>
  <si>
    <t>Import kWh</t>
  </si>
  <si>
    <t>Import € /kWh</t>
  </si>
  <si>
    <t>Export kWh</t>
  </si>
  <si>
    <t>Export € / kWh</t>
  </si>
  <si>
    <t>Dauer</t>
  </si>
  <si>
    <t>Verbrauch</t>
  </si>
  <si>
    <t>Verbrauch ohne PV €</t>
  </si>
  <si>
    <t>Einsparung</t>
  </si>
  <si>
    <t>Vergleich zu Mittelstrompreis auf Markt</t>
  </si>
  <si>
    <t>Grundpreis pro Jahr</t>
  </si>
  <si>
    <t>Grundpreis pro Monat</t>
  </si>
  <si>
    <t>Wartung /Ersatz</t>
  </si>
  <si>
    <t>Batterieverluste</t>
  </si>
  <si>
    <t>PV Erzeugung</t>
  </si>
  <si>
    <t>Self-consumed</t>
  </si>
  <si>
    <t>Jährliche 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</si>
</sst>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164" formatCode="_-* #,##0.00\ [$€-407]_-;\-* #,##0.00\ [$€-407]_-;_-* &quot;-&quot;??\ [$€-407]_-;_-@_-"/>
    <numFmt numFmtId="165" formatCode="_-* #,##0.000\ [$€-407]_-;\-* #,##0.000\ [$€-407]_-;_-* &quot;-&quot;??\ [$€-407]_-;_-@_-"/>
    <numFmt numFmtId="166" formatCode="_-[$€-2]\ * #,##0.00_-;\-[$€-2]\ * #,##0.00_-;_-[$€-2]\ * &quot;-&quot;??_-;_-@_-"/>
    <numFmt numFmtId="167" formatCode="_-[$€-2]\ * #,##0_-;\-[$€-2]\ * #,##0_-;_-[$€-2]\ * &quot;-&quot;??_-;_-@_-"/>
    <numFmt numFmtId="168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">
    <xf numFmtId="0" fontId="0" fillId="0" borderId="0" xfId="0"/>
    <xf numFmtId="1" fontId="0" fillId="2" borderId="0" xfId="0" applyNumberFormat="1" applyFill="1"/>
    <xf numFmtId="1" fontId="0" fillId="0" borderId="0" xfId="0" applyNumberFormat="1"/>
    <xf numFmtId="1" fontId="1" fillId="0" borderId="0" xfId="0" applyNumberFormat="1" applyFont="1"/>
    <xf numFmtId="9" fontId="0" fillId="0" borderId="0" xfId="2" applyFont="1"/>
    <xf numFmtId="0" fontId="1" fillId="0" borderId="0" xfId="0" applyFont="1"/>
    <xf numFmtId="9" fontId="1" fillId="0" borderId="0" xfId="2" applyFont="1"/>
    <xf numFmtId="164" fontId="0" fillId="0" borderId="0" xfId="1" applyNumberFormat="1" applyFont="1"/>
    <xf numFmtId="165" fontId="0" fillId="0" borderId="0" xfId="1" applyNumberFormat="1" applyFont="1"/>
    <xf numFmtId="167" fontId="0" fillId="0" borderId="0" xfId="1" applyNumberFormat="1" applyFont="1"/>
    <xf numFmtId="0" fontId="0" fillId="3" borderId="0" xfId="0" applyFill="1"/>
    <xf numFmtId="166" fontId="0" fillId="0" borderId="0" xfId="0" applyNumberFormat="1" applyAlignment="1">
      <alignment horizontal="left"/>
    </xf>
    <xf numFmtId="0" fontId="0" fillId="0" borderId="0" xfId="1" applyNumberFormat="1" applyFont="1" applyAlignment="1">
      <alignment horizontal="center"/>
    </xf>
    <xf numFmtId="166" fontId="3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167" fontId="1" fillId="0" borderId="0" xfId="1" applyNumberFormat="1" applyFont="1"/>
    <xf numFmtId="167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168" fontId="0" fillId="0" borderId="0" xfId="2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F7337-F2B1-4D7F-87AE-7A1B25174683}" name="Table1" displayName="Table1" ref="A1:D3" totalsRowShown="0">
  <autoFilter ref="A1:D3" xr:uid="{74EF7337-F2B1-4D7F-87AE-7A1B25174683}"/>
  <tableColumns count="4">
    <tableColumn id="1" xr3:uid="{DB4211A7-2693-4F60-84CF-4A6779D8C500}" name=" [€/kWh]"/>
    <tableColumn id="2" xr3:uid="{ABAA686A-BACB-45BF-B372-C779C1213FE0}" name="Current"/>
    <tableColumn id="3" xr3:uid="{26135924-F1F6-4CEE-A878-12C472F2C573}" name="Best case"/>
    <tableColumn id="4" xr3:uid="{9F3B99CD-702D-4238-B85E-44C4414B7772}" name="Worst case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5388-4C97-4445-8232-1FDBD1C340C8}">
  <dimension ref="A1:C8"/>
  <sheetViews>
    <sheetView workbookViewId="0">
      <selection activeCell="B15" sqref="B15"/>
    </sheetView>
  </sheetViews>
  <sheetFormatPr defaultRowHeight="14.5" x14ac:dyDescent="0.35"/>
  <cols>
    <col min="1" max="1" width="64.7265625" bestFit="1" customWidth="1"/>
    <col min="2" max="2" width="19.90625" bestFit="1" customWidth="1"/>
    <col min="3" max="3" width="12.6328125" customWidth="1"/>
  </cols>
  <sheetData>
    <row r="1" spans="1:3" x14ac:dyDescent="0.35">
      <c r="A1" t="s">
        <v>0</v>
      </c>
      <c r="B1" t="s">
        <v>8</v>
      </c>
      <c r="C1" t="s">
        <v>1</v>
      </c>
    </row>
    <row r="2" spans="1:3" x14ac:dyDescent="0.35">
      <c r="A2" t="s">
        <v>2</v>
      </c>
      <c r="B2" t="str">
        <f>MID(A2, 38,20)</f>
        <v>total-pv-generation_</v>
      </c>
      <c r="C2" s="1">
        <v>331235134.65999901</v>
      </c>
    </row>
    <row r="3" spans="1:3" x14ac:dyDescent="0.35">
      <c r="A3" t="s">
        <v>3</v>
      </c>
      <c r="B3" t="str">
        <f t="shared" ref="B3:B7" si="0">MID(A3, 38,20)</f>
        <v>total-consumed-energ</v>
      </c>
      <c r="C3" s="2">
        <v>94193164.048484802</v>
      </c>
    </row>
    <row r="4" spans="1:3" x14ac:dyDescent="0.35">
      <c r="A4" t="s">
        <v>4</v>
      </c>
      <c r="B4" t="str">
        <f t="shared" si="0"/>
        <v>total-imported-energ</v>
      </c>
      <c r="C4" s="1">
        <v>20923437.583333299</v>
      </c>
    </row>
    <row r="5" spans="1:3" x14ac:dyDescent="0.35">
      <c r="A5" t="s">
        <v>5</v>
      </c>
      <c r="B5" t="str">
        <f t="shared" si="0"/>
        <v>total-exported-energ</v>
      </c>
      <c r="C5" s="2">
        <v>102261241.256666</v>
      </c>
    </row>
    <row r="6" spans="1:3" x14ac:dyDescent="0.35">
      <c r="A6" t="s">
        <v>6</v>
      </c>
      <c r="B6" t="str">
        <f t="shared" si="0"/>
        <v>total-battery-charge</v>
      </c>
      <c r="C6" s="2">
        <v>31521357.966666602</v>
      </c>
    </row>
    <row r="7" spans="1:3" x14ac:dyDescent="0.35">
      <c r="A7" t="s">
        <v>7</v>
      </c>
      <c r="B7" t="str">
        <f t="shared" si="0"/>
        <v>total-battery-discha</v>
      </c>
      <c r="C7" s="1">
        <v>53539041.191666603</v>
      </c>
    </row>
    <row r="8" spans="1:3" x14ac:dyDescent="0.35">
      <c r="C8" s="3">
        <f>C2+C4-C5-(C6-C7)-C3</f>
        <v>177721850.16318154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35E4-88A9-4D21-B03C-079BDE91206C}">
  <dimension ref="A1:F4"/>
  <sheetViews>
    <sheetView workbookViewId="0">
      <selection activeCell="L20" sqref="L20"/>
    </sheetView>
  </sheetViews>
  <sheetFormatPr defaultRowHeight="14.5" x14ac:dyDescent="0.35"/>
  <sheetData>
    <row r="1" spans="1:6" x14ac:dyDescent="0.35">
      <c r="B1" t="s">
        <v>9</v>
      </c>
      <c r="C1" t="s">
        <v>10</v>
      </c>
      <c r="D1" t="s">
        <v>11</v>
      </c>
      <c r="E1" t="s">
        <v>12</v>
      </c>
      <c r="F1" t="s">
        <v>15</v>
      </c>
    </row>
    <row r="2" spans="1:6" x14ac:dyDescent="0.35">
      <c r="A2" t="s">
        <v>13</v>
      </c>
      <c r="B2">
        <v>19</v>
      </c>
      <c r="C2">
        <v>37</v>
      </c>
      <c r="D2">
        <v>32</v>
      </c>
      <c r="E2">
        <v>12</v>
      </c>
      <c r="F2" s="5">
        <v>30</v>
      </c>
    </row>
    <row r="3" spans="1:6" x14ac:dyDescent="0.35">
      <c r="A3" t="s">
        <v>14</v>
      </c>
      <c r="B3">
        <v>10</v>
      </c>
      <c r="C3">
        <v>27</v>
      </c>
      <c r="D3">
        <v>24</v>
      </c>
      <c r="E3">
        <v>2</v>
      </c>
      <c r="F3" s="5">
        <v>11</v>
      </c>
    </row>
    <row r="4" spans="1:6" x14ac:dyDescent="0.35">
      <c r="B4" s="4">
        <f>(B3-B2)/B2</f>
        <v>-0.47368421052631576</v>
      </c>
      <c r="C4" s="4">
        <f t="shared" ref="C4:F4" si="0">(C3-C2)/C2</f>
        <v>-0.27027027027027029</v>
      </c>
      <c r="D4" s="4">
        <f t="shared" si="0"/>
        <v>-0.25</v>
      </c>
      <c r="E4" s="4">
        <f t="shared" si="0"/>
        <v>-0.83333333333333337</v>
      </c>
      <c r="F4" s="6">
        <f t="shared" si="0"/>
        <v>-0.6333333333333333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0B80-F8F3-473F-B801-9E843A441412}">
  <dimension ref="A1:D3"/>
  <sheetViews>
    <sheetView workbookViewId="0">
      <selection activeCell="C13" sqref="C13"/>
    </sheetView>
  </sheetViews>
  <sheetFormatPr defaultRowHeight="14.5" x14ac:dyDescent="0.35"/>
  <cols>
    <col min="1" max="1" width="18.54296875" bestFit="1" customWidth="1"/>
    <col min="2" max="2" width="9.26953125" customWidth="1"/>
    <col min="3" max="3" width="10.81640625" customWidth="1"/>
    <col min="4" max="4" width="12.1796875" customWidth="1"/>
  </cols>
  <sheetData>
    <row r="1" spans="1:4" x14ac:dyDescent="0.35">
      <c r="A1" t="s">
        <v>20</v>
      </c>
      <c r="B1" t="s">
        <v>16</v>
      </c>
      <c r="C1" t="s">
        <v>17</v>
      </c>
      <c r="D1" t="s">
        <v>18</v>
      </c>
    </row>
    <row r="2" spans="1:4" x14ac:dyDescent="0.35">
      <c r="A2" t="s">
        <v>19</v>
      </c>
      <c r="B2" s="7">
        <v>-0.4</v>
      </c>
    </row>
    <row r="3" spans="1:4" x14ac:dyDescent="0.35">
      <c r="A3" t="s">
        <v>21</v>
      </c>
      <c r="B3" s="8">
        <v>8.2000000000000003E-2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F96F-CF34-491E-8B56-21821DCED44B}">
  <dimension ref="A1:S22"/>
  <sheetViews>
    <sheetView workbookViewId="0">
      <selection activeCell="A3" sqref="A3:M22"/>
    </sheetView>
  </sheetViews>
  <sheetFormatPr defaultRowHeight="14.5" x14ac:dyDescent="0.35"/>
  <cols>
    <col min="3" max="3" width="11.54296875" bestFit="1" customWidth="1"/>
    <col min="4" max="4" width="13.7265625" bestFit="1" customWidth="1"/>
    <col min="5" max="5" width="11.54296875" customWidth="1"/>
    <col min="6" max="6" width="18.54296875" bestFit="1" customWidth="1"/>
    <col min="7" max="7" width="12.81640625" bestFit="1" customWidth="1"/>
    <col min="8" max="8" width="12.90625" bestFit="1" customWidth="1"/>
    <col min="9" max="9" width="10.08984375" style="14" customWidth="1"/>
    <col min="10" max="10" width="12.90625" style="14" customWidth="1"/>
    <col min="11" max="11" width="12.81640625" bestFit="1" customWidth="1"/>
    <col min="12" max="12" width="10.453125" style="14" customWidth="1"/>
    <col min="13" max="13" width="12.81640625" bestFit="1" customWidth="1"/>
    <col min="14" max="14" width="14" bestFit="1" customWidth="1"/>
    <col min="15" max="16" width="18.36328125" bestFit="1" customWidth="1"/>
    <col min="17" max="17" width="18.36328125" customWidth="1"/>
  </cols>
  <sheetData>
    <row r="1" spans="1:19" x14ac:dyDescent="0.35">
      <c r="A1" t="s">
        <v>30</v>
      </c>
      <c r="B1" t="s">
        <v>22</v>
      </c>
      <c r="C1" s="16" t="s">
        <v>25</v>
      </c>
      <c r="D1" s="16" t="s">
        <v>37</v>
      </c>
      <c r="E1" s="15" t="s">
        <v>33</v>
      </c>
      <c r="F1" s="10" t="s">
        <v>32</v>
      </c>
      <c r="G1" s="10" t="s">
        <v>23</v>
      </c>
      <c r="H1" s="10" t="s">
        <v>24</v>
      </c>
      <c r="I1" s="14" t="s">
        <v>31</v>
      </c>
      <c r="J1" s="14" t="s">
        <v>26</v>
      </c>
      <c r="K1" t="s">
        <v>27</v>
      </c>
      <c r="L1" s="14" t="s">
        <v>28</v>
      </c>
      <c r="M1" t="s">
        <v>29</v>
      </c>
      <c r="N1" s="14" t="s">
        <v>38</v>
      </c>
      <c r="O1" s="14" t="s">
        <v>35</v>
      </c>
      <c r="P1" s="14" t="s">
        <v>36</v>
      </c>
      <c r="Q1" s="14"/>
    </row>
    <row r="2" spans="1:19" x14ac:dyDescent="0.35">
      <c r="B2">
        <v>2023</v>
      </c>
      <c r="C2" s="17">
        <v>19000</v>
      </c>
      <c r="D2" s="17"/>
      <c r="E2" s="9"/>
      <c r="F2" s="9">
        <f>I2*K2</f>
        <v>0</v>
      </c>
      <c r="G2" s="9">
        <f>J2*K2</f>
        <v>0</v>
      </c>
      <c r="H2" s="9">
        <f>L2*M2</f>
        <v>0</v>
      </c>
      <c r="I2" s="18"/>
      <c r="J2" s="18"/>
    </row>
    <row r="3" spans="1:19" x14ac:dyDescent="0.35">
      <c r="A3">
        <v>1</v>
      </c>
      <c r="B3">
        <v>2024</v>
      </c>
      <c r="C3" s="17">
        <f t="shared" ref="C3:C22" si="0">C2-E3</f>
        <v>17969.740000000002</v>
      </c>
      <c r="D3" s="17"/>
      <c r="E3" s="9">
        <f>F3-G3+H3</f>
        <v>1030.26</v>
      </c>
      <c r="F3" s="9">
        <f>I3*K3</f>
        <v>1120</v>
      </c>
      <c r="G3" s="9">
        <f>J3*K3</f>
        <v>379.2</v>
      </c>
      <c r="H3" s="9">
        <f>L3*M3</f>
        <v>289.46000000000004</v>
      </c>
      <c r="I3" s="12">
        <v>3500</v>
      </c>
      <c r="J3" s="12">
        <v>1185</v>
      </c>
      <c r="K3" s="13">
        <v>0.32</v>
      </c>
      <c r="L3" s="14">
        <v>3530</v>
      </c>
      <c r="M3" s="11">
        <v>8.2000000000000003E-2</v>
      </c>
      <c r="N3" s="12">
        <v>177</v>
      </c>
      <c r="O3" s="19">
        <f>P3*12</f>
        <v>156</v>
      </c>
      <c r="P3" s="19">
        <v>13</v>
      </c>
      <c r="Q3" s="19"/>
      <c r="R3" s="13">
        <v>0.4</v>
      </c>
      <c r="S3" t="s">
        <v>34</v>
      </c>
    </row>
    <row r="4" spans="1:19" x14ac:dyDescent="0.35">
      <c r="A4">
        <v>2</v>
      </c>
      <c r="B4">
        <v>2025</v>
      </c>
      <c r="C4" s="17">
        <f t="shared" si="0"/>
        <v>16939.480000000003</v>
      </c>
      <c r="D4" s="17"/>
      <c r="E4" s="9">
        <f t="shared" ref="E4:E17" si="1">F4-G4+H4</f>
        <v>1030.26</v>
      </c>
      <c r="F4" s="9">
        <f t="shared" ref="F4:F17" si="2">I4*K4</f>
        <v>1120</v>
      </c>
      <c r="G4" s="9">
        <f t="shared" ref="G4:G17" si="3">J4*K4</f>
        <v>379.2</v>
      </c>
      <c r="H4" s="9">
        <f t="shared" ref="H4:H17" si="4">L4*M4</f>
        <v>289.46000000000004</v>
      </c>
      <c r="I4" s="12">
        <v>3500</v>
      </c>
      <c r="J4" s="12">
        <v>1185</v>
      </c>
      <c r="K4" s="13">
        <v>0.32</v>
      </c>
      <c r="L4" s="14">
        <v>3530</v>
      </c>
      <c r="M4" s="11">
        <v>8.2000000000000003E-2</v>
      </c>
      <c r="N4" s="11"/>
    </row>
    <row r="5" spans="1:19" x14ac:dyDescent="0.35">
      <c r="A5">
        <v>3</v>
      </c>
      <c r="B5">
        <v>2026</v>
      </c>
      <c r="C5" s="17">
        <f t="shared" si="0"/>
        <v>15909.220000000003</v>
      </c>
      <c r="D5" s="17"/>
      <c r="E5" s="9">
        <f t="shared" si="1"/>
        <v>1030.26</v>
      </c>
      <c r="F5" s="9">
        <f t="shared" si="2"/>
        <v>1120</v>
      </c>
      <c r="G5" s="9">
        <f t="shared" si="3"/>
        <v>379.2</v>
      </c>
      <c r="H5" s="9">
        <f t="shared" si="4"/>
        <v>289.46000000000004</v>
      </c>
      <c r="I5" s="12">
        <v>3500</v>
      </c>
      <c r="J5" s="12">
        <v>1185</v>
      </c>
      <c r="K5" s="13">
        <v>0.32</v>
      </c>
      <c r="L5" s="14">
        <v>3530</v>
      </c>
      <c r="M5" s="11">
        <v>8.2000000000000003E-2</v>
      </c>
      <c r="N5" s="11"/>
    </row>
    <row r="6" spans="1:19" x14ac:dyDescent="0.35">
      <c r="A6">
        <v>4</v>
      </c>
      <c r="B6">
        <v>2027</v>
      </c>
      <c r="C6" s="17">
        <f t="shared" si="0"/>
        <v>14878.960000000003</v>
      </c>
      <c r="D6" s="17"/>
      <c r="E6" s="9">
        <f t="shared" si="1"/>
        <v>1030.26</v>
      </c>
      <c r="F6" s="9">
        <f t="shared" si="2"/>
        <v>1120</v>
      </c>
      <c r="G6" s="9">
        <f t="shared" si="3"/>
        <v>379.2</v>
      </c>
      <c r="H6" s="9">
        <f t="shared" si="4"/>
        <v>289.46000000000004</v>
      </c>
      <c r="I6" s="12">
        <v>3500</v>
      </c>
      <c r="J6" s="12">
        <v>1185</v>
      </c>
      <c r="K6" s="13">
        <v>0.32</v>
      </c>
      <c r="L6" s="14">
        <v>3530</v>
      </c>
      <c r="M6" s="11">
        <v>8.2000000000000003E-2</v>
      </c>
      <c r="N6" s="11"/>
    </row>
    <row r="7" spans="1:19" x14ac:dyDescent="0.35">
      <c r="A7">
        <v>5</v>
      </c>
      <c r="B7">
        <v>2028</v>
      </c>
      <c r="C7" s="17">
        <f t="shared" si="0"/>
        <v>13848.700000000003</v>
      </c>
      <c r="D7" s="17"/>
      <c r="E7" s="9">
        <f t="shared" si="1"/>
        <v>1030.26</v>
      </c>
      <c r="F7" s="9">
        <f>I7*K7</f>
        <v>1120</v>
      </c>
      <c r="G7" s="9">
        <f t="shared" si="3"/>
        <v>379.2</v>
      </c>
      <c r="H7" s="9">
        <f t="shared" si="4"/>
        <v>289.46000000000004</v>
      </c>
      <c r="I7" s="12">
        <v>3500</v>
      </c>
      <c r="J7" s="12">
        <v>1185</v>
      </c>
      <c r="K7" s="13">
        <v>0.32</v>
      </c>
      <c r="L7" s="14">
        <v>3530</v>
      </c>
      <c r="M7" s="11">
        <v>8.2000000000000003E-2</v>
      </c>
      <c r="N7" s="11"/>
    </row>
    <row r="8" spans="1:19" x14ac:dyDescent="0.35">
      <c r="A8">
        <v>6</v>
      </c>
      <c r="B8">
        <v>2029</v>
      </c>
      <c r="C8" s="17">
        <f t="shared" si="0"/>
        <v>12818.440000000002</v>
      </c>
      <c r="D8" s="17"/>
      <c r="E8" s="9">
        <f t="shared" si="1"/>
        <v>1030.26</v>
      </c>
      <c r="F8" s="9">
        <f t="shared" si="2"/>
        <v>1120</v>
      </c>
      <c r="G8" s="9">
        <f t="shared" si="3"/>
        <v>379.2</v>
      </c>
      <c r="H8" s="9">
        <f t="shared" si="4"/>
        <v>289.46000000000004</v>
      </c>
      <c r="I8" s="12">
        <v>3500</v>
      </c>
      <c r="J8" s="12">
        <v>1185</v>
      </c>
      <c r="K8" s="13">
        <v>0.32</v>
      </c>
      <c r="L8" s="14">
        <v>3530</v>
      </c>
      <c r="M8" s="11">
        <v>8.2000000000000003E-2</v>
      </c>
      <c r="N8" s="11"/>
    </row>
    <row r="9" spans="1:19" x14ac:dyDescent="0.35">
      <c r="A9">
        <v>7</v>
      </c>
      <c r="B9">
        <v>2030</v>
      </c>
      <c r="C9" s="17">
        <f t="shared" si="0"/>
        <v>11788.180000000002</v>
      </c>
      <c r="D9" s="17"/>
      <c r="E9" s="9">
        <f t="shared" si="1"/>
        <v>1030.26</v>
      </c>
      <c r="F9" s="9">
        <f t="shared" si="2"/>
        <v>1120</v>
      </c>
      <c r="G9" s="9">
        <f t="shared" si="3"/>
        <v>379.2</v>
      </c>
      <c r="H9" s="9">
        <f t="shared" si="4"/>
        <v>289.46000000000004</v>
      </c>
      <c r="I9" s="12">
        <v>3500</v>
      </c>
      <c r="J9" s="12">
        <v>1185</v>
      </c>
      <c r="K9" s="13">
        <v>0.32</v>
      </c>
      <c r="L9" s="14">
        <v>3530</v>
      </c>
      <c r="M9" s="11">
        <v>8.2000000000000003E-2</v>
      </c>
      <c r="N9" s="11"/>
    </row>
    <row r="10" spans="1:19" x14ac:dyDescent="0.35">
      <c r="A10">
        <v>8</v>
      </c>
      <c r="B10">
        <v>2031</v>
      </c>
      <c r="C10" s="17">
        <f t="shared" si="0"/>
        <v>10757.920000000002</v>
      </c>
      <c r="D10" s="17"/>
      <c r="E10" s="9">
        <f t="shared" si="1"/>
        <v>1030.26</v>
      </c>
      <c r="F10" s="9">
        <f t="shared" si="2"/>
        <v>1120</v>
      </c>
      <c r="G10" s="9">
        <f t="shared" si="3"/>
        <v>379.2</v>
      </c>
      <c r="H10" s="9">
        <f t="shared" si="4"/>
        <v>289.46000000000004</v>
      </c>
      <c r="I10" s="12">
        <v>3500</v>
      </c>
      <c r="J10" s="12">
        <v>1185</v>
      </c>
      <c r="K10" s="13">
        <v>0.32</v>
      </c>
      <c r="L10" s="14">
        <v>3530</v>
      </c>
      <c r="M10" s="11">
        <v>8.2000000000000003E-2</v>
      </c>
      <c r="N10" s="11"/>
    </row>
    <row r="11" spans="1:19" x14ac:dyDescent="0.35">
      <c r="A11">
        <v>9</v>
      </c>
      <c r="B11">
        <v>2032</v>
      </c>
      <c r="C11" s="17">
        <f t="shared" si="0"/>
        <v>9727.6600000000017</v>
      </c>
      <c r="D11" s="17"/>
      <c r="E11" s="9">
        <f t="shared" si="1"/>
        <v>1030.26</v>
      </c>
      <c r="F11" s="9">
        <f t="shared" si="2"/>
        <v>1120</v>
      </c>
      <c r="G11" s="9">
        <f t="shared" si="3"/>
        <v>379.2</v>
      </c>
      <c r="H11" s="9">
        <f t="shared" si="4"/>
        <v>289.46000000000004</v>
      </c>
      <c r="I11" s="12">
        <v>3500</v>
      </c>
      <c r="J11" s="12">
        <v>1185</v>
      </c>
      <c r="K11" s="13">
        <v>0.32</v>
      </c>
      <c r="L11" s="14">
        <v>3530</v>
      </c>
      <c r="M11" s="11">
        <v>8.2000000000000003E-2</v>
      </c>
      <c r="N11" s="11"/>
    </row>
    <row r="12" spans="1:19" x14ac:dyDescent="0.35">
      <c r="A12">
        <v>10</v>
      </c>
      <c r="B12">
        <v>2033</v>
      </c>
      <c r="C12" s="17">
        <f t="shared" si="0"/>
        <v>8697.4000000000015</v>
      </c>
      <c r="D12" s="17"/>
      <c r="E12" s="9">
        <f t="shared" si="1"/>
        <v>1030.26</v>
      </c>
      <c r="F12" s="9">
        <f t="shared" si="2"/>
        <v>1120</v>
      </c>
      <c r="G12" s="9">
        <f t="shared" si="3"/>
        <v>379.2</v>
      </c>
      <c r="H12" s="9">
        <f t="shared" si="4"/>
        <v>289.46000000000004</v>
      </c>
      <c r="I12" s="12">
        <v>3500</v>
      </c>
      <c r="J12" s="12">
        <v>1185</v>
      </c>
      <c r="K12" s="13">
        <v>0.32</v>
      </c>
      <c r="L12" s="14">
        <v>3530</v>
      </c>
      <c r="M12" s="11">
        <v>8.2000000000000003E-2</v>
      </c>
      <c r="N12" s="11"/>
    </row>
    <row r="13" spans="1:19" x14ac:dyDescent="0.35">
      <c r="A13">
        <v>11</v>
      </c>
      <c r="B13">
        <v>2034</v>
      </c>
      <c r="C13" s="17">
        <f t="shared" si="0"/>
        <v>7667.1400000000012</v>
      </c>
      <c r="D13" s="17"/>
      <c r="E13" s="9">
        <f t="shared" si="1"/>
        <v>1030.26</v>
      </c>
      <c r="F13" s="9">
        <f t="shared" si="2"/>
        <v>1120</v>
      </c>
      <c r="G13" s="9">
        <f t="shared" si="3"/>
        <v>379.2</v>
      </c>
      <c r="H13" s="9">
        <f t="shared" si="4"/>
        <v>289.46000000000004</v>
      </c>
      <c r="I13" s="12">
        <v>3500</v>
      </c>
      <c r="J13" s="12">
        <v>1185</v>
      </c>
      <c r="K13" s="13">
        <v>0.32</v>
      </c>
      <c r="L13" s="14">
        <v>3530</v>
      </c>
      <c r="M13" s="11">
        <v>8.2000000000000003E-2</v>
      </c>
      <c r="N13" s="11"/>
    </row>
    <row r="14" spans="1:19" x14ac:dyDescent="0.35">
      <c r="A14">
        <v>12</v>
      </c>
      <c r="B14">
        <v>2035</v>
      </c>
      <c r="C14" s="17">
        <f t="shared" si="0"/>
        <v>6636.880000000001</v>
      </c>
      <c r="D14" s="17"/>
      <c r="E14" s="9">
        <f t="shared" si="1"/>
        <v>1030.26</v>
      </c>
      <c r="F14" s="9">
        <f t="shared" si="2"/>
        <v>1120</v>
      </c>
      <c r="G14" s="9">
        <f t="shared" si="3"/>
        <v>379.2</v>
      </c>
      <c r="H14" s="9">
        <f t="shared" si="4"/>
        <v>289.46000000000004</v>
      </c>
      <c r="I14" s="12">
        <v>3500</v>
      </c>
      <c r="J14" s="12">
        <v>1185</v>
      </c>
      <c r="K14" s="13">
        <v>0.32</v>
      </c>
      <c r="L14" s="14">
        <v>3530</v>
      </c>
      <c r="M14" s="11">
        <v>8.2000000000000003E-2</v>
      </c>
      <c r="N14" s="11"/>
    </row>
    <row r="15" spans="1:19" x14ac:dyDescent="0.35">
      <c r="A15">
        <v>13</v>
      </c>
      <c r="B15">
        <v>2036</v>
      </c>
      <c r="C15" s="17">
        <f t="shared" si="0"/>
        <v>5606.6200000000008</v>
      </c>
      <c r="D15" s="17"/>
      <c r="E15" s="9">
        <f t="shared" si="1"/>
        <v>1030.26</v>
      </c>
      <c r="F15" s="9">
        <f t="shared" si="2"/>
        <v>1120</v>
      </c>
      <c r="G15" s="9">
        <f t="shared" si="3"/>
        <v>379.2</v>
      </c>
      <c r="H15" s="9">
        <f t="shared" si="4"/>
        <v>289.46000000000004</v>
      </c>
      <c r="I15" s="12">
        <v>3500</v>
      </c>
      <c r="J15" s="12">
        <v>1185</v>
      </c>
      <c r="K15" s="13">
        <v>0.32</v>
      </c>
      <c r="L15" s="14">
        <v>3530</v>
      </c>
      <c r="M15" s="11">
        <v>8.2000000000000003E-2</v>
      </c>
      <c r="N15" s="11"/>
    </row>
    <row r="16" spans="1:19" x14ac:dyDescent="0.35">
      <c r="A16">
        <v>14</v>
      </c>
      <c r="B16">
        <v>2037</v>
      </c>
      <c r="C16" s="17">
        <f t="shared" si="0"/>
        <v>4576.3600000000006</v>
      </c>
      <c r="D16" s="17"/>
      <c r="E16" s="9">
        <f t="shared" si="1"/>
        <v>1030.26</v>
      </c>
      <c r="F16" s="9">
        <f t="shared" si="2"/>
        <v>1120</v>
      </c>
      <c r="G16" s="9">
        <f t="shared" si="3"/>
        <v>379.2</v>
      </c>
      <c r="H16" s="9">
        <f t="shared" si="4"/>
        <v>289.46000000000004</v>
      </c>
      <c r="I16" s="12">
        <v>3500</v>
      </c>
      <c r="J16" s="12">
        <v>1185</v>
      </c>
      <c r="K16" s="13">
        <v>0.32</v>
      </c>
      <c r="L16" s="14">
        <v>3530</v>
      </c>
      <c r="M16" s="11">
        <v>8.2000000000000003E-2</v>
      </c>
      <c r="N16" s="11"/>
    </row>
    <row r="17" spans="1:14" x14ac:dyDescent="0.35">
      <c r="A17">
        <v>15</v>
      </c>
      <c r="B17">
        <v>2038</v>
      </c>
      <c r="C17" s="17">
        <f t="shared" si="0"/>
        <v>3546.1000000000004</v>
      </c>
      <c r="D17" s="17"/>
      <c r="E17" s="9">
        <f t="shared" si="1"/>
        <v>1030.26</v>
      </c>
      <c r="F17" s="9">
        <f t="shared" si="2"/>
        <v>1120</v>
      </c>
      <c r="G17" s="9">
        <f t="shared" si="3"/>
        <v>379.2</v>
      </c>
      <c r="H17" s="9">
        <f t="shared" si="4"/>
        <v>289.46000000000004</v>
      </c>
      <c r="I17" s="12">
        <v>3500</v>
      </c>
      <c r="J17" s="12">
        <v>1185</v>
      </c>
      <c r="K17" s="13">
        <v>0.32</v>
      </c>
      <c r="L17" s="14">
        <v>3530</v>
      </c>
      <c r="M17" s="11">
        <v>8.2000000000000003E-2</v>
      </c>
      <c r="N17" s="11"/>
    </row>
    <row r="18" spans="1:14" x14ac:dyDescent="0.35">
      <c r="A18">
        <v>16</v>
      </c>
      <c r="B18">
        <v>2039</v>
      </c>
      <c r="C18" s="17">
        <f t="shared" si="0"/>
        <v>2515.84</v>
      </c>
      <c r="D18" s="17"/>
      <c r="E18" s="9">
        <f t="shared" ref="E18:E19" si="5">F18-G18+H18</f>
        <v>1030.26</v>
      </c>
      <c r="F18" s="9">
        <f t="shared" ref="F18:F19" si="6">I18*K18</f>
        <v>1120</v>
      </c>
      <c r="G18" s="9">
        <f t="shared" ref="G18:G19" si="7">J18*K18</f>
        <v>379.2</v>
      </c>
      <c r="H18" s="9">
        <f t="shared" ref="H18:H19" si="8">L18*M18</f>
        <v>289.46000000000004</v>
      </c>
      <c r="I18" s="12">
        <v>3500</v>
      </c>
      <c r="J18" s="12">
        <v>1185</v>
      </c>
      <c r="K18" s="13">
        <v>0.32</v>
      </c>
      <c r="L18" s="14">
        <v>3530</v>
      </c>
      <c r="M18" s="11">
        <v>8.2000000000000003E-2</v>
      </c>
      <c r="N18" s="11"/>
    </row>
    <row r="19" spans="1:14" x14ac:dyDescent="0.35">
      <c r="A19">
        <v>17</v>
      </c>
      <c r="B19">
        <v>2040</v>
      </c>
      <c r="C19" s="17">
        <f t="shared" si="0"/>
        <v>1485.5800000000002</v>
      </c>
      <c r="D19" s="17"/>
      <c r="E19" s="9">
        <f t="shared" si="5"/>
        <v>1030.26</v>
      </c>
      <c r="F19" s="9">
        <f t="shared" si="6"/>
        <v>1120</v>
      </c>
      <c r="G19" s="9">
        <f t="shared" si="7"/>
        <v>379.2</v>
      </c>
      <c r="H19" s="9">
        <f t="shared" si="8"/>
        <v>289.46000000000004</v>
      </c>
      <c r="I19" s="12">
        <v>3500</v>
      </c>
      <c r="J19" s="12">
        <v>1185</v>
      </c>
      <c r="K19" s="13">
        <v>0.32</v>
      </c>
      <c r="L19" s="14">
        <v>3530</v>
      </c>
      <c r="M19" s="11">
        <v>8.2000000000000003E-2</v>
      </c>
      <c r="N19" s="11"/>
    </row>
    <row r="20" spans="1:14" x14ac:dyDescent="0.35">
      <c r="A20">
        <v>18</v>
      </c>
      <c r="B20">
        <v>2041</v>
      </c>
      <c r="C20" s="17">
        <f t="shared" si="0"/>
        <v>455.32000000000016</v>
      </c>
      <c r="D20" s="17"/>
      <c r="E20" s="9">
        <f t="shared" ref="E20:E22" si="9">F20-G20+H20</f>
        <v>1030.26</v>
      </c>
      <c r="F20" s="9">
        <f t="shared" ref="F20:F22" si="10">I20*K20</f>
        <v>1120</v>
      </c>
      <c r="G20" s="9">
        <f t="shared" ref="G20:G22" si="11">J20*K20</f>
        <v>379.2</v>
      </c>
      <c r="H20" s="9">
        <f t="shared" ref="H20:H22" si="12">L20*M20</f>
        <v>289.46000000000004</v>
      </c>
      <c r="I20" s="12">
        <v>3500</v>
      </c>
      <c r="J20" s="12">
        <v>1185</v>
      </c>
      <c r="K20" s="13">
        <v>0.32</v>
      </c>
      <c r="L20" s="14">
        <v>3530</v>
      </c>
      <c r="M20" s="11">
        <v>8.2000000000000003E-2</v>
      </c>
      <c r="N20" s="11"/>
    </row>
    <row r="21" spans="1:14" x14ac:dyDescent="0.35">
      <c r="A21">
        <v>19</v>
      </c>
      <c r="B21">
        <v>2042</v>
      </c>
      <c r="C21" s="17">
        <f t="shared" si="0"/>
        <v>-574.93999999999983</v>
      </c>
      <c r="D21" s="17"/>
      <c r="E21" s="9">
        <f t="shared" si="9"/>
        <v>1030.26</v>
      </c>
      <c r="F21" s="9">
        <f t="shared" si="10"/>
        <v>1120</v>
      </c>
      <c r="G21" s="9">
        <f t="shared" si="11"/>
        <v>379.2</v>
      </c>
      <c r="H21" s="9">
        <f t="shared" si="12"/>
        <v>289.46000000000004</v>
      </c>
      <c r="I21" s="12">
        <v>3500</v>
      </c>
      <c r="J21" s="12">
        <v>1185</v>
      </c>
      <c r="K21" s="13">
        <v>0.32</v>
      </c>
      <c r="L21" s="14">
        <v>3530</v>
      </c>
      <c r="M21" s="11">
        <v>8.2000000000000003E-2</v>
      </c>
      <c r="N21" s="11"/>
    </row>
    <row r="22" spans="1:14" x14ac:dyDescent="0.35">
      <c r="A22">
        <v>20</v>
      </c>
      <c r="B22">
        <v>2043</v>
      </c>
      <c r="C22" s="17">
        <f t="shared" si="0"/>
        <v>-1605.1999999999998</v>
      </c>
      <c r="D22" s="17"/>
      <c r="E22" s="9">
        <f t="shared" si="9"/>
        <v>1030.26</v>
      </c>
      <c r="F22" s="9">
        <f t="shared" si="10"/>
        <v>1120</v>
      </c>
      <c r="G22" s="9">
        <f t="shared" si="11"/>
        <v>379.2</v>
      </c>
      <c r="H22" s="9">
        <f t="shared" si="12"/>
        <v>289.46000000000004</v>
      </c>
      <c r="I22" s="12">
        <v>3500</v>
      </c>
      <c r="J22" s="12">
        <v>1185</v>
      </c>
      <c r="K22" s="13">
        <v>0.32</v>
      </c>
      <c r="L22" s="14">
        <v>3530</v>
      </c>
      <c r="M22" s="11">
        <v>8.2000000000000003E-2</v>
      </c>
      <c r="N22" s="11"/>
    </row>
  </sheetData>
  <conditionalFormatting sqref="C2:D22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2D21-A2E0-4B94-A8AA-B6C681DB2548}">
  <dimension ref="A1:X26"/>
  <sheetViews>
    <sheetView tabSelected="1" workbookViewId="0">
      <selection activeCell="Q3" sqref="Q3"/>
    </sheetView>
  </sheetViews>
  <sheetFormatPr defaultRowHeight="14.5" x14ac:dyDescent="0.35"/>
  <cols>
    <col min="3" max="3" width="11.54296875" bestFit="1" customWidth="1"/>
    <col min="4" max="4" width="13.7265625" bestFit="1" customWidth="1"/>
    <col min="5" max="5" width="11.54296875" customWidth="1"/>
    <col min="6" max="6" width="18.54296875" bestFit="1" customWidth="1"/>
    <col min="7" max="7" width="12.81640625" bestFit="1" customWidth="1"/>
    <col min="8" max="8" width="12.90625" bestFit="1" customWidth="1"/>
    <col min="9" max="9" width="12.90625" customWidth="1"/>
    <col min="10" max="10" width="10.08984375" style="14" customWidth="1"/>
    <col min="11" max="11" width="12.90625" style="14" customWidth="1"/>
    <col min="12" max="12" width="12.81640625" bestFit="1" customWidth="1"/>
    <col min="13" max="13" width="10.453125" style="14" customWidth="1"/>
    <col min="14" max="14" width="12.81640625" bestFit="1" customWidth="1"/>
    <col min="15" max="15" width="14" bestFit="1" customWidth="1"/>
    <col min="16" max="17" width="14" customWidth="1"/>
    <col min="18" max="19" width="16.08984375" customWidth="1"/>
    <col min="20" max="21" width="18.36328125" bestFit="1" customWidth="1"/>
    <col min="22" max="22" width="18.36328125" customWidth="1"/>
  </cols>
  <sheetData>
    <row r="1" spans="1:24" x14ac:dyDescent="0.35">
      <c r="A1" t="s">
        <v>30</v>
      </c>
      <c r="B1" t="s">
        <v>22</v>
      </c>
      <c r="C1" s="16" t="s">
        <v>25</v>
      </c>
      <c r="D1" s="16" t="s">
        <v>37</v>
      </c>
      <c r="E1" s="15" t="s">
        <v>33</v>
      </c>
      <c r="F1" s="10" t="s">
        <v>32</v>
      </c>
      <c r="G1" s="10" t="s">
        <v>23</v>
      </c>
      <c r="H1" s="10" t="s">
        <v>24</v>
      </c>
      <c r="I1" s="10" t="s">
        <v>41</v>
      </c>
      <c r="J1" s="14" t="s">
        <v>31</v>
      </c>
      <c r="K1" s="14" t="s">
        <v>26</v>
      </c>
      <c r="L1" t="s">
        <v>27</v>
      </c>
      <c r="M1" s="14" t="s">
        <v>28</v>
      </c>
      <c r="N1" t="s">
        <v>29</v>
      </c>
      <c r="O1" s="14" t="s">
        <v>38</v>
      </c>
      <c r="P1" s="14" t="s">
        <v>39</v>
      </c>
      <c r="Q1" s="14" t="s">
        <v>40</v>
      </c>
      <c r="R1" s="14"/>
      <c r="S1" s="14"/>
      <c r="T1" s="14" t="s">
        <v>35</v>
      </c>
      <c r="U1" s="14" t="s">
        <v>36</v>
      </c>
      <c r="V1" s="14"/>
    </row>
    <row r="2" spans="1:24" x14ac:dyDescent="0.35">
      <c r="B2">
        <v>2023</v>
      </c>
      <c r="C2" s="17">
        <v>19000</v>
      </c>
      <c r="D2" s="17"/>
      <c r="E2" s="9"/>
      <c r="F2" s="9">
        <f>J2*L2</f>
        <v>0</v>
      </c>
      <c r="G2" s="9">
        <f>K2*L2</f>
        <v>0</v>
      </c>
      <c r="H2" s="9">
        <f>M2*N2</f>
        <v>0</v>
      </c>
      <c r="I2" s="9"/>
      <c r="J2" s="18"/>
      <c r="K2" s="18"/>
    </row>
    <row r="3" spans="1:24" x14ac:dyDescent="0.35">
      <c r="A3">
        <v>1</v>
      </c>
      <c r="B3">
        <v>2024</v>
      </c>
      <c r="C3" s="17">
        <f t="shared" ref="C3:C23" si="0">C2-E3</f>
        <v>17794.058000000001</v>
      </c>
      <c r="D3" s="17"/>
      <c r="E3" s="9">
        <f>F3-G3+H3</f>
        <v>1205.942</v>
      </c>
      <c r="F3" s="9">
        <f>J3*L3</f>
        <v>1390.4</v>
      </c>
      <c r="G3" s="9">
        <f>K3*L3</f>
        <v>474</v>
      </c>
      <c r="H3" s="9">
        <f>M3*N3</f>
        <v>289.54200000000003</v>
      </c>
      <c r="I3" s="9">
        <f>G3-H3</f>
        <v>184.45799999999997</v>
      </c>
      <c r="J3" s="12">
        <v>3476</v>
      </c>
      <c r="K3" s="12">
        <v>1185</v>
      </c>
      <c r="L3" s="13">
        <v>0.4</v>
      </c>
      <c r="M3" s="14">
        <v>3531</v>
      </c>
      <c r="N3" s="11">
        <v>8.2000000000000003E-2</v>
      </c>
      <c r="O3" s="12">
        <v>177</v>
      </c>
      <c r="P3" s="12">
        <v>6000</v>
      </c>
      <c r="Q3" s="12">
        <f>P3-O3-M3</f>
        <v>2292</v>
      </c>
      <c r="R3" s="19">
        <f>Q3*L3+H3</f>
        <v>1206.3420000000001</v>
      </c>
      <c r="S3" s="19"/>
      <c r="T3" s="19">
        <f>U3*12</f>
        <v>156</v>
      </c>
      <c r="U3" s="19">
        <v>13</v>
      </c>
      <c r="V3" s="19"/>
      <c r="W3" s="13">
        <v>0.4</v>
      </c>
      <c r="X3" t="s">
        <v>34</v>
      </c>
    </row>
    <row r="4" spans="1:24" x14ac:dyDescent="0.35">
      <c r="A4">
        <v>1</v>
      </c>
      <c r="B4">
        <v>2024</v>
      </c>
      <c r="C4" s="17">
        <f t="shared" si="0"/>
        <v>16588.116000000002</v>
      </c>
      <c r="D4" s="17"/>
      <c r="E4" s="9">
        <f>F4-G4+H4</f>
        <v>1205.942</v>
      </c>
      <c r="F4" s="9">
        <f t="shared" ref="F4:F23" si="1">J4*L4</f>
        <v>1390.4</v>
      </c>
      <c r="G4" s="9">
        <f>K4*L4</f>
        <v>474</v>
      </c>
      <c r="H4" s="9">
        <f t="shared" ref="H4:H23" si="2">M4*N4</f>
        <v>289.54200000000003</v>
      </c>
      <c r="I4" s="9"/>
      <c r="J4" s="12">
        <v>3476</v>
      </c>
      <c r="K4" s="12">
        <v>1185</v>
      </c>
      <c r="L4" s="13">
        <v>0.4</v>
      </c>
      <c r="M4" s="14">
        <v>3531</v>
      </c>
      <c r="N4" s="11">
        <v>8.2000000000000003E-2</v>
      </c>
      <c r="O4" s="12"/>
      <c r="P4" s="20">
        <f>O3/(P3-M3)</f>
        <v>7.168894289185905E-2</v>
      </c>
      <c r="Q4" s="12"/>
      <c r="R4" s="12"/>
      <c r="S4" s="12"/>
      <c r="T4" s="19"/>
      <c r="U4" s="19"/>
      <c r="V4" s="19"/>
      <c r="W4" s="13"/>
    </row>
    <row r="5" spans="1:24" x14ac:dyDescent="0.35">
      <c r="A5">
        <v>2</v>
      </c>
      <c r="B5">
        <v>2025</v>
      </c>
      <c r="C5" s="17">
        <f t="shared" si="0"/>
        <v>15382.174000000003</v>
      </c>
      <c r="D5" s="17"/>
      <c r="E5" s="9">
        <f t="shared" ref="E5:E23" si="3">F5-G5+H5</f>
        <v>1205.942</v>
      </c>
      <c r="F5" s="9">
        <f t="shared" si="1"/>
        <v>1390.4</v>
      </c>
      <c r="G5" s="9">
        <f t="shared" ref="G5:G23" si="4">K5*L5</f>
        <v>474</v>
      </c>
      <c r="H5" s="9">
        <f t="shared" si="2"/>
        <v>289.54200000000003</v>
      </c>
      <c r="I5" s="9"/>
      <c r="J5" s="12">
        <v>3476</v>
      </c>
      <c r="K5" s="12">
        <v>1185</v>
      </c>
      <c r="L5" s="13">
        <v>0.4</v>
      </c>
      <c r="M5" s="14">
        <v>3531</v>
      </c>
      <c r="N5" s="11">
        <v>8.2000000000000003E-2</v>
      </c>
      <c r="P5" s="11"/>
      <c r="Q5" s="11"/>
      <c r="R5" s="11"/>
      <c r="S5" s="11"/>
    </row>
    <row r="6" spans="1:24" x14ac:dyDescent="0.35">
      <c r="A6">
        <v>3</v>
      </c>
      <c r="B6">
        <v>2026</v>
      </c>
      <c r="C6" s="17">
        <f t="shared" si="0"/>
        <v>14176.232000000004</v>
      </c>
      <c r="D6" s="17"/>
      <c r="E6" s="9">
        <f t="shared" si="3"/>
        <v>1205.942</v>
      </c>
      <c r="F6" s="9">
        <f t="shared" si="1"/>
        <v>1390.4</v>
      </c>
      <c r="G6" s="9">
        <f t="shared" si="4"/>
        <v>474</v>
      </c>
      <c r="H6" s="9">
        <f t="shared" si="2"/>
        <v>289.54200000000003</v>
      </c>
      <c r="I6" s="9"/>
      <c r="J6" s="12">
        <v>3476</v>
      </c>
      <c r="K6" s="12">
        <v>1185</v>
      </c>
      <c r="L6" s="13">
        <v>0.4</v>
      </c>
      <c r="M6" s="14">
        <v>3531</v>
      </c>
      <c r="N6" s="11">
        <v>8.2000000000000003E-2</v>
      </c>
      <c r="P6" s="11"/>
      <c r="Q6" s="11"/>
      <c r="R6" s="11"/>
      <c r="S6" s="11"/>
    </row>
    <row r="7" spans="1:24" x14ac:dyDescent="0.35">
      <c r="A7">
        <v>4</v>
      </c>
      <c r="B7">
        <v>2027</v>
      </c>
      <c r="C7" s="17">
        <f t="shared" si="0"/>
        <v>12970.290000000005</v>
      </c>
      <c r="D7" s="17"/>
      <c r="E7" s="9">
        <f t="shared" si="3"/>
        <v>1205.942</v>
      </c>
      <c r="F7" s="9">
        <f t="shared" si="1"/>
        <v>1390.4</v>
      </c>
      <c r="G7" s="9">
        <f t="shared" si="4"/>
        <v>474</v>
      </c>
      <c r="H7" s="9">
        <f t="shared" si="2"/>
        <v>289.54200000000003</v>
      </c>
      <c r="I7" s="9"/>
      <c r="J7" s="12">
        <v>3476</v>
      </c>
      <c r="K7" s="12">
        <v>1185</v>
      </c>
      <c r="L7" s="13">
        <v>0.4</v>
      </c>
      <c r="M7" s="14">
        <v>3531</v>
      </c>
      <c r="N7" s="11">
        <v>8.2000000000000003E-2</v>
      </c>
      <c r="P7" s="11"/>
      <c r="Q7" s="11"/>
      <c r="R7" s="11"/>
      <c r="S7" s="11"/>
    </row>
    <row r="8" spans="1:24" x14ac:dyDescent="0.35">
      <c r="A8">
        <v>5</v>
      </c>
      <c r="B8">
        <v>2028</v>
      </c>
      <c r="C8" s="17">
        <f t="shared" si="0"/>
        <v>11764.348000000005</v>
      </c>
      <c r="D8" s="17"/>
      <c r="E8" s="9">
        <f t="shared" si="3"/>
        <v>1205.942</v>
      </c>
      <c r="F8" s="9">
        <f t="shared" si="1"/>
        <v>1390.4</v>
      </c>
      <c r="G8" s="9">
        <f t="shared" si="4"/>
        <v>474</v>
      </c>
      <c r="H8" s="9">
        <f t="shared" si="2"/>
        <v>289.54200000000003</v>
      </c>
      <c r="I8" s="9"/>
      <c r="J8" s="12">
        <v>3476</v>
      </c>
      <c r="K8" s="12">
        <v>1185</v>
      </c>
      <c r="L8" s="13">
        <v>0.4</v>
      </c>
      <c r="M8" s="14">
        <v>3531</v>
      </c>
      <c r="N8" s="11">
        <v>8.2000000000000003E-2</v>
      </c>
      <c r="P8" s="11"/>
      <c r="Q8" s="11"/>
      <c r="R8" s="11"/>
      <c r="S8" s="11"/>
    </row>
    <row r="9" spans="1:24" x14ac:dyDescent="0.35">
      <c r="A9">
        <v>6</v>
      </c>
      <c r="B9">
        <v>2029</v>
      </c>
      <c r="C9" s="17">
        <f t="shared" si="0"/>
        <v>10558.406000000006</v>
      </c>
      <c r="D9" s="17"/>
      <c r="E9" s="9">
        <f t="shared" si="3"/>
        <v>1205.942</v>
      </c>
      <c r="F9" s="9">
        <f t="shared" si="1"/>
        <v>1390.4</v>
      </c>
      <c r="G9" s="9">
        <f t="shared" si="4"/>
        <v>474</v>
      </c>
      <c r="H9" s="9">
        <f t="shared" si="2"/>
        <v>289.54200000000003</v>
      </c>
      <c r="I9" s="9"/>
      <c r="J9" s="12">
        <v>3476</v>
      </c>
      <c r="K9" s="12">
        <v>1185</v>
      </c>
      <c r="L9" s="13">
        <v>0.4</v>
      </c>
      <c r="M9" s="14">
        <v>3531</v>
      </c>
      <c r="N9" s="11">
        <v>8.2000000000000003E-2</v>
      </c>
      <c r="P9" s="11"/>
      <c r="Q9" s="11"/>
      <c r="R9" s="11"/>
      <c r="S9" s="11"/>
    </row>
    <row r="10" spans="1:24" x14ac:dyDescent="0.35">
      <c r="A10">
        <v>7</v>
      </c>
      <c r="B10">
        <v>2030</v>
      </c>
      <c r="C10" s="17">
        <f t="shared" si="0"/>
        <v>9352.4640000000072</v>
      </c>
      <c r="D10" s="17"/>
      <c r="E10" s="9">
        <f t="shared" si="3"/>
        <v>1205.942</v>
      </c>
      <c r="F10" s="9">
        <f t="shared" si="1"/>
        <v>1390.4</v>
      </c>
      <c r="G10" s="9">
        <f t="shared" si="4"/>
        <v>474</v>
      </c>
      <c r="H10" s="9">
        <f t="shared" si="2"/>
        <v>289.54200000000003</v>
      </c>
      <c r="I10" s="9"/>
      <c r="J10" s="12">
        <v>3476</v>
      </c>
      <c r="K10" s="12">
        <v>1185</v>
      </c>
      <c r="L10" s="13">
        <v>0.4</v>
      </c>
      <c r="M10" s="14">
        <v>3531</v>
      </c>
      <c r="N10" s="11">
        <v>8.2000000000000003E-2</v>
      </c>
      <c r="P10" s="11"/>
      <c r="Q10" s="11"/>
      <c r="R10" s="11"/>
      <c r="S10" s="11"/>
    </row>
    <row r="11" spans="1:24" x14ac:dyDescent="0.35">
      <c r="A11">
        <v>8</v>
      </c>
      <c r="B11">
        <v>2031</v>
      </c>
      <c r="C11" s="17">
        <f t="shared" si="0"/>
        <v>8146.5220000000072</v>
      </c>
      <c r="D11" s="17"/>
      <c r="E11" s="9">
        <f t="shared" si="3"/>
        <v>1205.942</v>
      </c>
      <c r="F11" s="9">
        <f t="shared" si="1"/>
        <v>1390.4</v>
      </c>
      <c r="G11" s="9">
        <f t="shared" si="4"/>
        <v>474</v>
      </c>
      <c r="H11" s="9">
        <f t="shared" si="2"/>
        <v>289.54200000000003</v>
      </c>
      <c r="I11" s="9"/>
      <c r="J11" s="12">
        <v>3476</v>
      </c>
      <c r="K11" s="12">
        <v>1185</v>
      </c>
      <c r="L11" s="13">
        <v>0.4</v>
      </c>
      <c r="M11" s="14">
        <v>3531</v>
      </c>
      <c r="N11" s="11">
        <v>8.2000000000000003E-2</v>
      </c>
      <c r="P11" s="11"/>
      <c r="Q11" s="11"/>
      <c r="R11" s="11"/>
      <c r="S11" s="11"/>
    </row>
    <row r="12" spans="1:24" x14ac:dyDescent="0.35">
      <c r="A12">
        <v>9</v>
      </c>
      <c r="B12">
        <v>2032</v>
      </c>
      <c r="C12" s="17">
        <f t="shared" si="0"/>
        <v>6940.5800000000072</v>
      </c>
      <c r="D12" s="17"/>
      <c r="E12" s="9">
        <f t="shared" si="3"/>
        <v>1205.942</v>
      </c>
      <c r="F12" s="9">
        <f t="shared" si="1"/>
        <v>1390.4</v>
      </c>
      <c r="G12" s="9">
        <f t="shared" si="4"/>
        <v>474</v>
      </c>
      <c r="H12" s="9">
        <f t="shared" si="2"/>
        <v>289.54200000000003</v>
      </c>
      <c r="I12" s="9"/>
      <c r="J12" s="12">
        <v>3476</v>
      </c>
      <c r="K12" s="12">
        <v>1185</v>
      </c>
      <c r="L12" s="13">
        <v>0.4</v>
      </c>
      <c r="M12" s="14">
        <v>3531</v>
      </c>
      <c r="N12" s="11">
        <v>8.2000000000000003E-2</v>
      </c>
      <c r="P12" s="11"/>
      <c r="Q12" s="11"/>
      <c r="R12" s="11"/>
      <c r="S12" s="11"/>
    </row>
    <row r="13" spans="1:24" x14ac:dyDescent="0.35">
      <c r="A13">
        <v>10</v>
      </c>
      <c r="B13">
        <v>2033</v>
      </c>
      <c r="C13" s="17">
        <f t="shared" si="0"/>
        <v>5734.6380000000072</v>
      </c>
      <c r="D13" s="17"/>
      <c r="E13" s="9">
        <f t="shared" si="3"/>
        <v>1205.942</v>
      </c>
      <c r="F13" s="9">
        <f t="shared" si="1"/>
        <v>1390.4</v>
      </c>
      <c r="G13" s="9">
        <f t="shared" si="4"/>
        <v>474</v>
      </c>
      <c r="H13" s="9">
        <f t="shared" si="2"/>
        <v>289.54200000000003</v>
      </c>
      <c r="I13" s="9"/>
      <c r="J13" s="12">
        <v>3476</v>
      </c>
      <c r="K13" s="12">
        <v>1185</v>
      </c>
      <c r="L13" s="13">
        <v>0.4</v>
      </c>
      <c r="M13" s="14">
        <v>3531</v>
      </c>
      <c r="N13" s="11">
        <v>8.2000000000000003E-2</v>
      </c>
      <c r="P13" s="11"/>
      <c r="Q13" s="11"/>
      <c r="R13" s="11"/>
      <c r="S13" s="11"/>
    </row>
    <row r="14" spans="1:24" x14ac:dyDescent="0.35">
      <c r="A14">
        <v>11</v>
      </c>
      <c r="B14">
        <v>2034</v>
      </c>
      <c r="C14" s="17">
        <f t="shared" si="0"/>
        <v>4528.6960000000072</v>
      </c>
      <c r="D14" s="17"/>
      <c r="E14" s="9">
        <f t="shared" si="3"/>
        <v>1205.942</v>
      </c>
      <c r="F14" s="9">
        <f t="shared" si="1"/>
        <v>1390.4</v>
      </c>
      <c r="G14" s="9">
        <f t="shared" si="4"/>
        <v>474</v>
      </c>
      <c r="H14" s="9">
        <f t="shared" si="2"/>
        <v>289.54200000000003</v>
      </c>
      <c r="I14" s="9"/>
      <c r="J14" s="12">
        <v>3476</v>
      </c>
      <c r="K14" s="12">
        <v>1185</v>
      </c>
      <c r="L14" s="13">
        <v>0.4</v>
      </c>
      <c r="M14" s="14">
        <v>3531</v>
      </c>
      <c r="N14" s="11">
        <v>8.2000000000000003E-2</v>
      </c>
      <c r="P14" s="11"/>
      <c r="Q14" s="11"/>
      <c r="R14" s="11"/>
      <c r="S14" s="11"/>
    </row>
    <row r="15" spans="1:24" x14ac:dyDescent="0.35">
      <c r="A15">
        <v>12</v>
      </c>
      <c r="B15">
        <v>2035</v>
      </c>
      <c r="C15" s="17">
        <f t="shared" si="0"/>
        <v>3322.7540000000072</v>
      </c>
      <c r="D15" s="17"/>
      <c r="E15" s="9">
        <f t="shared" si="3"/>
        <v>1205.942</v>
      </c>
      <c r="F15" s="9">
        <f t="shared" si="1"/>
        <v>1390.4</v>
      </c>
      <c r="G15" s="9">
        <f t="shared" si="4"/>
        <v>474</v>
      </c>
      <c r="H15" s="9">
        <f t="shared" si="2"/>
        <v>289.54200000000003</v>
      </c>
      <c r="I15" s="9"/>
      <c r="J15" s="12">
        <v>3476</v>
      </c>
      <c r="K15" s="12">
        <v>1185</v>
      </c>
      <c r="L15" s="13">
        <v>0.4</v>
      </c>
      <c r="M15" s="14">
        <v>3531</v>
      </c>
      <c r="N15" s="11">
        <v>8.2000000000000003E-2</v>
      </c>
      <c r="P15" s="11"/>
      <c r="Q15" s="11"/>
      <c r="R15" s="11"/>
      <c r="S15" s="11"/>
    </row>
    <row r="16" spans="1:24" x14ac:dyDescent="0.35">
      <c r="A16">
        <v>13</v>
      </c>
      <c r="B16">
        <v>2036</v>
      </c>
      <c r="C16" s="17">
        <f t="shared" si="0"/>
        <v>2116.8120000000072</v>
      </c>
      <c r="D16" s="17"/>
      <c r="E16" s="9">
        <f t="shared" si="3"/>
        <v>1205.942</v>
      </c>
      <c r="F16" s="9">
        <f t="shared" si="1"/>
        <v>1390.4</v>
      </c>
      <c r="G16" s="9">
        <f t="shared" si="4"/>
        <v>474</v>
      </c>
      <c r="H16" s="9">
        <f t="shared" si="2"/>
        <v>289.54200000000003</v>
      </c>
      <c r="I16" s="9"/>
      <c r="J16" s="12">
        <v>3476</v>
      </c>
      <c r="K16" s="12">
        <v>1185</v>
      </c>
      <c r="L16" s="13">
        <v>0.4</v>
      </c>
      <c r="M16" s="14">
        <v>3531</v>
      </c>
      <c r="N16" s="11">
        <v>8.2000000000000003E-2</v>
      </c>
      <c r="P16" s="11"/>
      <c r="Q16" s="11"/>
      <c r="R16" s="11"/>
      <c r="S16" s="11"/>
    </row>
    <row r="17" spans="1:19" x14ac:dyDescent="0.35">
      <c r="A17">
        <v>14</v>
      </c>
      <c r="B17">
        <v>2037</v>
      </c>
      <c r="C17" s="17">
        <f t="shared" si="0"/>
        <v>910.87000000000717</v>
      </c>
      <c r="D17" s="17"/>
      <c r="E17" s="9">
        <f t="shared" si="3"/>
        <v>1205.942</v>
      </c>
      <c r="F17" s="9">
        <f t="shared" si="1"/>
        <v>1390.4</v>
      </c>
      <c r="G17" s="9">
        <f t="shared" si="4"/>
        <v>474</v>
      </c>
      <c r="H17" s="9">
        <f t="shared" si="2"/>
        <v>289.54200000000003</v>
      </c>
      <c r="I17" s="9"/>
      <c r="J17" s="12">
        <v>3476</v>
      </c>
      <c r="K17" s="12">
        <v>1185</v>
      </c>
      <c r="L17" s="13">
        <v>0.4</v>
      </c>
      <c r="M17" s="14">
        <v>3531</v>
      </c>
      <c r="N17" s="11">
        <v>8.2000000000000003E-2</v>
      </c>
      <c r="P17" s="11"/>
      <c r="Q17" s="11"/>
      <c r="R17" s="11"/>
      <c r="S17" s="11"/>
    </row>
    <row r="18" spans="1:19" x14ac:dyDescent="0.35">
      <c r="A18">
        <v>15</v>
      </c>
      <c r="B18">
        <v>2038</v>
      </c>
      <c r="C18" s="17">
        <f t="shared" si="0"/>
        <v>-295.07199999999284</v>
      </c>
      <c r="D18" s="17"/>
      <c r="E18" s="9">
        <f t="shared" si="3"/>
        <v>1205.942</v>
      </c>
      <c r="F18" s="9">
        <f t="shared" si="1"/>
        <v>1390.4</v>
      </c>
      <c r="G18" s="9">
        <f t="shared" si="4"/>
        <v>474</v>
      </c>
      <c r="H18" s="9">
        <f t="shared" si="2"/>
        <v>289.54200000000003</v>
      </c>
      <c r="I18" s="9"/>
      <c r="J18" s="12">
        <v>3476</v>
      </c>
      <c r="K18" s="12">
        <v>1185</v>
      </c>
      <c r="L18" s="13">
        <v>0.4</v>
      </c>
      <c r="M18" s="14">
        <v>3531</v>
      </c>
      <c r="N18" s="11">
        <v>8.2000000000000003E-2</v>
      </c>
      <c r="P18" s="11"/>
      <c r="Q18" s="11"/>
      <c r="R18" s="11"/>
      <c r="S18" s="11"/>
    </row>
    <row r="19" spans="1:19" x14ac:dyDescent="0.35">
      <c r="A19">
        <v>16</v>
      </c>
      <c r="B19">
        <v>2039</v>
      </c>
      <c r="C19" s="17">
        <f t="shared" si="0"/>
        <v>-1501.0139999999928</v>
      </c>
      <c r="D19" s="17"/>
      <c r="E19" s="9">
        <f t="shared" si="3"/>
        <v>1205.942</v>
      </c>
      <c r="F19" s="9">
        <f t="shared" si="1"/>
        <v>1390.4</v>
      </c>
      <c r="G19" s="9">
        <f t="shared" si="4"/>
        <v>474</v>
      </c>
      <c r="H19" s="9">
        <f t="shared" si="2"/>
        <v>289.54200000000003</v>
      </c>
      <c r="I19" s="9"/>
      <c r="J19" s="12">
        <v>3476</v>
      </c>
      <c r="K19" s="12">
        <v>1185</v>
      </c>
      <c r="L19" s="13">
        <v>0.4</v>
      </c>
      <c r="M19" s="14">
        <v>3531</v>
      </c>
      <c r="N19" s="11">
        <v>8.2000000000000003E-2</v>
      </c>
      <c r="P19" s="11"/>
      <c r="Q19" s="11"/>
      <c r="R19" s="11"/>
      <c r="S19" s="11"/>
    </row>
    <row r="20" spans="1:19" x14ac:dyDescent="0.35">
      <c r="A20">
        <v>17</v>
      </c>
      <c r="B20">
        <v>2040</v>
      </c>
      <c r="C20" s="17">
        <f t="shared" si="0"/>
        <v>-2706.9559999999929</v>
      </c>
      <c r="D20" s="17"/>
      <c r="E20" s="9">
        <f t="shared" si="3"/>
        <v>1205.942</v>
      </c>
      <c r="F20" s="9">
        <f t="shared" si="1"/>
        <v>1390.4</v>
      </c>
      <c r="G20" s="9">
        <f t="shared" si="4"/>
        <v>474</v>
      </c>
      <c r="H20" s="9">
        <f t="shared" si="2"/>
        <v>289.54200000000003</v>
      </c>
      <c r="I20" s="9"/>
      <c r="J20" s="12">
        <v>3476</v>
      </c>
      <c r="K20" s="12">
        <v>1185</v>
      </c>
      <c r="L20" s="13">
        <v>0.4</v>
      </c>
      <c r="M20" s="14">
        <v>3531</v>
      </c>
      <c r="N20" s="11">
        <v>8.2000000000000003E-2</v>
      </c>
      <c r="P20" s="11"/>
      <c r="Q20" s="11"/>
      <c r="R20" s="11"/>
      <c r="S20" s="11"/>
    </row>
    <row r="21" spans="1:19" x14ac:dyDescent="0.35">
      <c r="A21">
        <v>18</v>
      </c>
      <c r="B21">
        <v>2041</v>
      </c>
      <c r="C21" s="17">
        <f t="shared" si="0"/>
        <v>-3912.8979999999929</v>
      </c>
      <c r="D21" s="17"/>
      <c r="E21" s="9">
        <f t="shared" si="3"/>
        <v>1205.942</v>
      </c>
      <c r="F21" s="9">
        <f t="shared" si="1"/>
        <v>1390.4</v>
      </c>
      <c r="G21" s="9">
        <f t="shared" si="4"/>
        <v>474</v>
      </c>
      <c r="H21" s="9">
        <f t="shared" si="2"/>
        <v>289.54200000000003</v>
      </c>
      <c r="I21" s="9"/>
      <c r="J21" s="12">
        <v>3476</v>
      </c>
      <c r="K21" s="12">
        <v>1185</v>
      </c>
      <c r="L21" s="13">
        <v>0.4</v>
      </c>
      <c r="M21" s="14">
        <v>3531</v>
      </c>
      <c r="N21" s="11">
        <v>8.2000000000000003E-2</v>
      </c>
      <c r="P21" s="11"/>
      <c r="Q21" s="11"/>
      <c r="R21" s="11"/>
      <c r="S21" s="11"/>
    </row>
    <row r="22" spans="1:19" x14ac:dyDescent="0.35">
      <c r="A22">
        <v>19</v>
      </c>
      <c r="B22">
        <v>2042</v>
      </c>
      <c r="C22" s="17">
        <f t="shared" si="0"/>
        <v>-5118.8399999999929</v>
      </c>
      <c r="D22" s="17"/>
      <c r="E22" s="9">
        <f t="shared" si="3"/>
        <v>1205.942</v>
      </c>
      <c r="F22" s="9">
        <f t="shared" si="1"/>
        <v>1390.4</v>
      </c>
      <c r="G22" s="9">
        <f t="shared" si="4"/>
        <v>474</v>
      </c>
      <c r="H22" s="9">
        <f t="shared" si="2"/>
        <v>289.54200000000003</v>
      </c>
      <c r="I22" s="9"/>
      <c r="J22" s="12">
        <v>3476</v>
      </c>
      <c r="K22" s="12">
        <v>1185</v>
      </c>
      <c r="L22" s="13">
        <v>0.4</v>
      </c>
      <c r="M22" s="14">
        <v>3531</v>
      </c>
      <c r="N22" s="11">
        <v>8.2000000000000003E-2</v>
      </c>
      <c r="P22" s="11"/>
      <c r="Q22" s="11"/>
      <c r="R22" s="11"/>
      <c r="S22" s="11"/>
    </row>
    <row r="23" spans="1:19" x14ac:dyDescent="0.35">
      <c r="A23">
        <v>20</v>
      </c>
      <c r="B23">
        <v>2043</v>
      </c>
      <c r="C23" s="17">
        <f t="shared" si="0"/>
        <v>-6324.7819999999929</v>
      </c>
      <c r="D23" s="17"/>
      <c r="E23" s="9">
        <f t="shared" si="3"/>
        <v>1205.942</v>
      </c>
      <c r="F23" s="9">
        <f t="shared" si="1"/>
        <v>1390.4</v>
      </c>
      <c r="G23" s="9">
        <f t="shared" si="4"/>
        <v>474</v>
      </c>
      <c r="H23" s="9">
        <f t="shared" si="2"/>
        <v>289.54200000000003</v>
      </c>
      <c r="I23" s="9"/>
      <c r="J23" s="12">
        <v>3476</v>
      </c>
      <c r="K23" s="12">
        <v>1185</v>
      </c>
      <c r="L23" s="13">
        <v>0.4</v>
      </c>
      <c r="M23" s="14">
        <v>3531</v>
      </c>
      <c r="N23" s="11">
        <v>8.2000000000000003E-2</v>
      </c>
      <c r="P23" s="11"/>
      <c r="Q23" s="11"/>
      <c r="R23" s="11"/>
      <c r="S23" s="11"/>
    </row>
    <row r="24" spans="1:19" x14ac:dyDescent="0.35">
      <c r="J24"/>
      <c r="K24"/>
      <c r="M24"/>
    </row>
    <row r="25" spans="1:19" x14ac:dyDescent="0.35">
      <c r="J25"/>
      <c r="K25"/>
      <c r="M25"/>
    </row>
    <row r="26" spans="1:19" x14ac:dyDescent="0.35">
      <c r="J26"/>
      <c r="K26"/>
      <c r="M26"/>
    </row>
  </sheetData>
  <conditionalFormatting sqref="C2:D3">
    <cfRule type="cellIs" dxfId="1" priority="2" operator="lessThan">
      <formula>0</formula>
    </cfRule>
  </conditionalFormatting>
  <conditionalFormatting sqref="C4:D23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A_Energy</vt:lpstr>
      <vt:lpstr>Q1-4</vt:lpstr>
      <vt:lpstr>Stromkosten</vt:lpstr>
      <vt:lpstr>Kosten 30.10.</vt:lpstr>
      <vt:lpstr>Kosten 1.11.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estebanmiyata</dc:creator>
  <cp:lastModifiedBy>Stephan estebanmiyata</cp:lastModifiedBy>
  <dcterms:created xsi:type="dcterms:W3CDTF">2025-10-18T09:21:21Z</dcterms:created>
  <dcterms:modified xsi:type="dcterms:W3CDTF">2025-11-02T08:56:47Z</dcterms:modified>
</cp:coreProperties>
</file>